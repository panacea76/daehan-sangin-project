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86.56066"/>
  <workbookPr/>
  <bookViews>
    <workbookView xWindow="360" yWindow="30" windowWidth="25755" windowHeight="11595" tabRatio="540" activeTab="8"/>
  </bookViews>
  <sheets>
    <sheet name="최병선" sheetId="1" r:id="rId1"/>
    <sheet name="전성우" sheetId="2" r:id="rId2"/>
    <sheet name="윤정화" sheetId="3" r:id="rId3"/>
    <sheet name="유창범" sheetId="6" r:id="rId4"/>
    <sheet name="TQ" sheetId="7" r:id="rId5"/>
    <sheet name="멍냥이" sheetId="4" r:id="rId6"/>
    <sheet name="조은미" sheetId="5" r:id="rId7"/>
    <sheet name="이성호" sheetId="8" r:id="rId8"/>
    <sheet name="대한상인" sheetId="10" r:id="rId9"/>
    <sheet name="기타" sheetId="9" r:id="rId10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comments2.xml><?xml version="1.0" encoding="utf-8"?>
<comments xmlns="http://schemas.openxmlformats.org/spreadsheetml/2006/main">
  <authors/>
  <commentList/>
</comments>
</file>

<file path=xl/comments3.xml><?xml version="1.0" encoding="utf-8"?>
<comments xmlns="http://schemas.openxmlformats.org/spreadsheetml/2006/main">
  <authors/>
  <commentList/>
</comments>
</file>

<file path=xl/comments4.xml><?xml version="1.0" encoding="utf-8"?>
<comments xmlns="http://schemas.openxmlformats.org/spreadsheetml/2006/main">
  <authors/>
  <commentList/>
</comments>
</file>

<file path=xl/comments5.xml><?xml version="1.0" encoding="utf-8"?>
<comments xmlns="http://schemas.openxmlformats.org/spreadsheetml/2006/main">
  <authors/>
  <commentList/>
</comments>
</file>

<file path=xl/comments6.xml><?xml version="1.0" encoding="utf-8"?>
<comments xmlns="http://schemas.openxmlformats.org/spreadsheetml/2006/main">
  <authors/>
  <commentList/>
</comments>
</file>

<file path=xl/comments7.xml><?xml version="1.0" encoding="utf-8"?>
<comments xmlns="http://schemas.openxmlformats.org/spreadsheetml/2006/main">
  <authors/>
  <commentList/>
</comments>
</file>

<file path=xl/comments8.xml><?xml version="1.0" encoding="utf-8"?>
<comments xmlns="http://schemas.openxmlformats.org/spreadsheetml/2006/main">
  <authors/>
  <commentList/>
</comments>
</file>

<file path=xl/comments9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<sst xmlns="http://schemas.openxmlformats.org/spreadsheetml/2006/main" count="61" uniqueCount="61">
  <si>
    <t>최병선</t>
  </si>
  <si>
    <t>전성우</t>
  </si>
  <si>
    <t>윤화</t>
  </si>
  <si>
    <t>스마트출금</t>
  </si>
  <si>
    <r>
      <rPr>
        <sz val="8"/>
        <color rgb="FF000000"/>
        <rFont val="굴림체"/>
      </rPr>
      <t>스마트출금</t>
    </r>
  </si>
  <si>
    <r>
      <rPr>
        <sz val="8"/>
        <color rgb="FF000000"/>
        <rFont val="굴림체"/>
      </rPr>
      <t>최병선</t>
    </r>
  </si>
  <si>
    <t>우만동</t>
  </si>
  <si>
    <r>
      <rPr>
        <sz val="8"/>
        <color rgb="FF000000"/>
        <rFont val="굴림체"/>
      </rPr>
      <t>우만동</t>
    </r>
  </si>
  <si>
    <t>출금</t>
  </si>
  <si>
    <t>유정화</t>
  </si>
  <si>
    <t>윤정화</t>
  </si>
  <si>
    <r>
      <rPr>
        <sz val="8"/>
        <color rgb="FF000000"/>
        <rFont val="굴림체"/>
      </rPr>
      <t>전성우</t>
    </r>
  </si>
  <si>
    <t>멍냥이</t>
  </si>
  <si>
    <t>(주)멍냥이비밀밥상</t>
  </si>
  <si>
    <r>
      <rPr>
        <sz val="8"/>
        <color rgb="FF000000"/>
        <rFont val="굴림체"/>
      </rPr>
      <t>(주)멍냥이비밀밥상</t>
    </r>
  </si>
  <si>
    <t>조은미</t>
  </si>
  <si>
    <r>
      <rPr>
        <sz val="8"/>
        <color rgb="FF000000"/>
        <rFont val="굴림체"/>
      </rPr>
      <t>조은미</t>
    </r>
  </si>
  <si>
    <r>
      <rPr>
        <sz val="8"/>
        <color rgb="FF000000"/>
        <rFont val="굴림체"/>
      </rPr>
      <t>윤정화</t>
    </r>
  </si>
  <si>
    <t>유창범</t>
  </si>
  <si>
    <r>
      <rPr>
        <sz val="8"/>
        <color rgb="FF000000"/>
        <rFont val="굴림체"/>
      </rPr>
      <t>유창범</t>
    </r>
  </si>
  <si>
    <t>(주)티큐네트웍스</t>
  </si>
  <si>
    <r>
      <rPr>
        <sz val="8"/>
        <color rgb="FF000000"/>
        <rFont val="굴림체"/>
      </rPr>
      <t>(주)티큐네트웍스</t>
    </r>
  </si>
  <si>
    <t>티큐네트웍스</t>
  </si>
  <si>
    <t>이성호</t>
  </si>
  <si>
    <r>
      <rPr>
        <sz val="8"/>
        <color rgb="FF000000"/>
        <rFont val="굴림체"/>
      </rPr>
      <t>이성호</t>
    </r>
  </si>
  <si>
    <t>기타</t>
  </si>
  <si>
    <t>서평강(상상특허법률</t>
  </si>
  <si>
    <r>
      <rPr>
        <sz val="8"/>
        <color rgb="FF000000"/>
        <rFont val="굴림체"/>
      </rPr>
      <t>서평강(상상특허법률</t>
    </r>
  </si>
  <si>
    <t>김병희</t>
  </si>
  <si>
    <r>
      <rPr>
        <sz val="8"/>
        <color rgb="FF000000"/>
        <rFont val="굴림체"/>
      </rPr>
      <t>김병희</t>
    </r>
  </si>
  <si>
    <t>김윤경</t>
  </si>
  <si>
    <r>
      <rPr>
        <sz val="8"/>
        <color rgb="FF000000"/>
        <rFont val="굴림체"/>
      </rPr>
      <t>김윤경</t>
    </r>
  </si>
  <si>
    <t>강은석</t>
  </si>
  <si>
    <r>
      <rPr>
        <sz val="8"/>
        <color rgb="FF000000"/>
        <rFont val="굴림체"/>
      </rPr>
      <t>강은석</t>
    </r>
  </si>
  <si>
    <t>이해원</t>
  </si>
  <si>
    <r>
      <rPr>
        <sz val="8"/>
        <color rgb="FF000000"/>
        <rFont val="굴림체"/>
      </rPr>
      <t>이해원</t>
    </r>
  </si>
  <si>
    <t>류재희</t>
  </si>
  <si>
    <r>
      <rPr>
        <sz val="8"/>
        <color rgb="FF000000"/>
        <rFont val="굴림체"/>
      </rPr>
      <t>류재희</t>
    </r>
  </si>
  <si>
    <t>안성문</t>
  </si>
  <si>
    <r>
      <rPr>
        <sz val="8"/>
        <color rgb="FF000000"/>
        <rFont val="굴림체"/>
      </rPr>
      <t>안성문</t>
    </r>
  </si>
  <si>
    <t>문지희</t>
  </si>
  <si>
    <r>
      <rPr>
        <sz val="8"/>
        <color rgb="FF000000"/>
        <rFont val="굴림체"/>
      </rPr>
      <t>문지희</t>
    </r>
  </si>
  <si>
    <t>민은진</t>
  </si>
  <si>
    <r>
      <rPr>
        <sz val="8"/>
        <color rgb="FF000000"/>
        <rFont val="굴림체"/>
      </rPr>
      <t>민은진</t>
    </r>
  </si>
  <si>
    <t>박성현</t>
  </si>
  <si>
    <r>
      <rPr>
        <sz val="8"/>
        <color rgb="FF000000"/>
        <rFont val="굴림체"/>
      </rPr>
      <t>박성현</t>
    </r>
  </si>
  <si>
    <t>안현숙</t>
  </si>
  <si>
    <r>
      <rPr>
        <sz val="8"/>
        <color rgb="FF000000"/>
        <rFont val="굴림체"/>
      </rPr>
      <t>안현숙</t>
    </r>
  </si>
  <si>
    <t>(주)보람비지니스라</t>
  </si>
  <si>
    <r>
      <rPr>
        <sz val="8"/>
        <color rgb="FF000000"/>
        <rFont val="굴림체"/>
      </rPr>
      <t>(주)보람비지니스라</t>
    </r>
  </si>
  <si>
    <t>조혜림</t>
  </si>
  <si>
    <r>
      <rPr>
        <sz val="8"/>
        <color rgb="FF000000"/>
        <rFont val="굴림체"/>
      </rPr>
      <t>조혜림</t>
    </r>
  </si>
  <si>
    <t>(주)대한상인</t>
  </si>
  <si>
    <r>
      <rPr>
        <sz val="8"/>
        <color rgb="FF000000"/>
        <rFont val="굴림체"/>
      </rPr>
      <t>(주)대한상인</t>
    </r>
  </si>
  <si>
    <t>대한상인</t>
  </si>
  <si>
    <t>2022.07.08</t>
  </si>
  <si>
    <t>2022.07.08 10:52:30</t>
  </si>
  <si>
    <t>일산북</t>
  </si>
  <si>
    <t>2022.01.12</t>
  </si>
  <si>
    <t>2022.03.28</t>
  </si>
  <si>
    <t>2022.04.06</t>
  </si>
</sst>
</file>

<file path=xl/styles.xml><?xml version="1.0" encoding="utf-8"?>
<styleSheet xmlns="http://schemas.openxmlformats.org/spreadsheetml/2006/main">
  <numFmts count="1">
    <numFmt numFmtId="64" formatCode="yyyy\.mm\.dd\ hh:mm:ss;@"/>
  </numFmts>
  <fonts count="21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0.0"/>
      <name val="Times New Roman"/>
      <color rgb="FF000000"/>
    </font>
    <font>
      <sz val="8.0"/>
      <name val="굴림체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10">
    <xf numFmtId="0" fontId="0" fillId="0" borderId="0" xfId="0">
      <alignment vertical="center"/>
    </xf>
    <xf numFmtId="64" fontId="20" fillId="0" borderId="10" xfId="0" applyBorder="1" applyAlignment="1">
      <alignment horizontal="center" vertical="center" shrinkToFit="1"/>
    </xf>
    <xf numFmtId="0" fontId="20" fillId="0" borderId="10" xfId="0" applyBorder="1" applyAlignment="1">
      <alignment horizontal="left" vertical="center" wrapText="1"/>
    </xf>
    <xf numFmtId="3" fontId="20" fillId="0" borderId="10" xfId="0" applyBorder="1" applyAlignment="1">
      <alignment horizontal="right" vertical="center" shrinkToFit="1"/>
    </xf>
    <xf numFmtId="1" fontId="20" fillId="0" borderId="10" xfId="0" applyBorder="1" applyAlignment="1">
      <alignment horizontal="right" vertical="center" shrinkToFit="1"/>
    </xf>
    <xf numFmtId="0" fontId="19" fillId="0" borderId="10" xfId="0" applyBorder="1" applyAlignment="1">
      <alignment horizontal="left" wrapText="1"/>
    </xf>
    <xf numFmtId="0" fontId="19" fillId="0" borderId="0" xfId="0" applyAlignment="1">
      <alignment horizontal="left" vertical="center"/>
    </xf>
    <xf numFmtId="3" fontId="0" fillId="0" borderId="0" xfId="0">
      <alignment vertical="center"/>
    </xf>
    <xf numFmtId="3" fontId="20" fillId="0" borderId="10" xfId="0" applyBorder="1" applyAlignment="1">
      <alignment horizontal="center" vertical="center" shrinkToFit="1"/>
    </xf>
    <xf numFmtId="3" fontId="0" fillId="0" borderId="0" xfId="0" applyNumberForma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theme" Target="theme/theme1.xml"></Relationship><Relationship Id="rId12" Type="http://schemas.openxmlformats.org/officeDocument/2006/relationships/styles" Target="styles.xml"></Relationship><Relationship Id="rId13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drawings/_rels/vmlDrawing2.vml.rels><?xml version="1.0" encoding="UTF-8"?>
<Relationships xmlns="http://schemas.openxmlformats.org/package/2006/relationships"></Relationships>
</file>

<file path=xl/drawings/_rels/vmlDrawing3.vml.rels><?xml version="1.0" encoding="UTF-8"?>
<Relationships xmlns="http://schemas.openxmlformats.org/package/2006/relationships"></Relationships>
</file>

<file path=xl/drawings/_rels/vmlDrawing4.vml.rels><?xml version="1.0" encoding="UTF-8"?>
<Relationships xmlns="http://schemas.openxmlformats.org/package/2006/relationships"></Relationships>
</file>

<file path=xl/drawings/_rels/vmlDrawing5.vml.rels><?xml version="1.0" encoding="UTF-8"?>
<Relationships xmlns="http://schemas.openxmlformats.org/package/2006/relationships"></Relationships>
</file>

<file path=xl/drawings/_rels/vmlDrawing6.vml.rels><?xml version="1.0" encoding="UTF-8"?>
<Relationships xmlns="http://schemas.openxmlformats.org/package/2006/relationships"></Relationships>
</file>

<file path=xl/drawings/_rels/vmlDrawing7.vml.rels><?xml version="1.0" encoding="UTF-8"?>
<Relationships xmlns="http://schemas.openxmlformats.org/package/2006/relationships"></Relationships>
</file>

<file path=xl/drawings/_rels/vmlDrawing8.vml.rels><?xml version="1.0" encoding="UTF-8"?>
<Relationships xmlns="http://schemas.openxmlformats.org/package/2006/relationships"></Relationships>
</file>

<file path=xl/drawings/_rels/vmlDrawing9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2.vml"></Relationship><Relationship Id="rId2" Type="http://schemas.openxmlformats.org/officeDocument/2006/relationships/comments" Target="../comments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vmlDrawing" Target="../drawings/vmlDrawing3.vml"></Relationship><Relationship Id="rId2" Type="http://schemas.openxmlformats.org/officeDocument/2006/relationships/comments" Target="../comments3.xml"></Relationship></Relationships>
</file>

<file path=xl/worksheets/_rels/sheet4.xml.rels><?xml version="1.0" encoding="UTF-8"?>
<Relationships xmlns="http://schemas.openxmlformats.org/package/2006/relationships"><Relationship Id="rId1" Type="http://schemas.openxmlformats.org/officeDocument/2006/relationships/vmlDrawing" Target="../drawings/vmlDrawing4.vml"></Relationship><Relationship Id="rId2" Type="http://schemas.openxmlformats.org/officeDocument/2006/relationships/comments" Target="../comments4.xml"></Relationship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vmlDrawing" Target="../drawings/vmlDrawing5.vml"></Relationship><Relationship Id="rId2" Type="http://schemas.openxmlformats.org/officeDocument/2006/relationships/comments" Target="../comments5.xml"></Relationship></Relationships>
</file>

<file path=xl/worksheets/_rels/sheet6.xml.rels><?xml version="1.0" encoding="UTF-8"?>
<Relationships xmlns="http://schemas.openxmlformats.org/package/2006/relationships"><Relationship Id="rId1" Type="http://schemas.openxmlformats.org/officeDocument/2006/relationships/vmlDrawing" Target="../drawings/vmlDrawing6.vml"></Relationship><Relationship Id="rId2" Type="http://schemas.openxmlformats.org/officeDocument/2006/relationships/comments" Target="../comments6.xml"></Relationship></Relationships>
</file>

<file path=xl/worksheets/_rels/sheet7.xml.rels><?xml version="1.0" encoding="UTF-8"?>
<Relationships xmlns="http://schemas.openxmlformats.org/package/2006/relationships"><Relationship Id="rId1" Type="http://schemas.openxmlformats.org/officeDocument/2006/relationships/vmlDrawing" Target="../drawings/vmlDrawing7.vml"></Relationship><Relationship Id="rId2" Type="http://schemas.openxmlformats.org/officeDocument/2006/relationships/comments" Target="../comments7.xml"></Relationship></Relationships>
</file>

<file path=xl/worksheets/_rels/sheet8.xml.rels><?xml version="1.0" encoding="UTF-8"?>
<Relationships xmlns="http://schemas.openxmlformats.org/package/2006/relationships"><Relationship Id="rId1" Type="http://schemas.openxmlformats.org/officeDocument/2006/relationships/vmlDrawing" Target="../drawings/vmlDrawing8.vml"></Relationship><Relationship Id="rId2" Type="http://schemas.openxmlformats.org/officeDocument/2006/relationships/comments" Target="../comments8.xml"></Relationship></Relationships>
</file>

<file path=xl/worksheets/_rels/sheet9.xml.rels><?xml version="1.0" encoding="UTF-8"?>
<Relationships xmlns="http://schemas.openxmlformats.org/package/2006/relationships"></Relationships>
</file>

<file path=xl/worksheets/_rels/sheet10.xml.rels><?xml version="1.0" encoding="UTF-8"?>
<Relationships xmlns="http://schemas.openxmlformats.org/package/2006/relationships"><Relationship Id="rId1" Type="http://schemas.openxmlformats.org/officeDocument/2006/relationships/vmlDrawing" Target="../drawings/vmlDrawing9.vml"></Relationship><Relationship Id="rId2" Type="http://schemas.openxmlformats.org/officeDocument/2006/relationships/comments" Target="../comments9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>
      <selection activeCell="N13" sqref="N13"/>
    </sheetView>
  </sheetViews>
  <sheetFormatPr defaultRowHeight="16.500000"/>
  <cols>
    <col min="1" max="1" width="17.25499916" customWidth="1" outlineLevel="0"/>
    <col min="5" max="5" width="15.63000011" customWidth="1" outlineLevel="0"/>
    <col min="11" max="11" width="16.25500011" customWidth="1" outlineLevel="0"/>
  </cols>
  <sheetData>
    <row r="1" spans="1:15">
      <c r="A1" s="0">
        <v>593</v>
      </c>
      <c r="B1" s="0" t="s">
        <v>0</v>
      </c>
      <c r="E1" s="0" t="s">
        <v>8</v>
      </c>
    </row>
    <row r="2" spans="1:15" s="6" customFormat="1" ht="15.750000" customHeight="1">
      <c r="A2" s="1">
        <v>44573.267847</v>
      </c>
      <c r="B2" s="2" t="s">
        <v>4</v>
      </c>
      <c r="C2" s="2" t="s">
        <v>5</v>
      </c>
      <c r="D2" s="2" t="s">
        <v>5</v>
      </c>
      <c r="E2" s="3">
        <v>15000000</v>
      </c>
      <c r="F2" s="4">
        <v>0</v>
      </c>
      <c r="G2" s="3">
        <v>1000000</v>
      </c>
      <c r="H2" s="2" t="s">
        <v>7</v>
      </c>
      <c r="I2" s="5"/>
      <c r="K2" s="1"/>
      <c r="L2" s="2"/>
      <c r="M2" s="2"/>
      <c r="N2" s="2"/>
      <c r="O2" s="3"/>
    </row>
    <row r="3" spans="1:15" s="6" customFormat="1" ht="15.750000" customHeight="1">
      <c r="A3" s="1">
        <v>44584.645995</v>
      </c>
      <c r="B3" s="2" t="s">
        <v>4</v>
      </c>
      <c r="C3" s="2" t="s">
        <v>5</v>
      </c>
      <c r="D3" s="2" t="s">
        <v>5</v>
      </c>
      <c r="E3" s="3">
        <v>10000000</v>
      </c>
      <c r="F3" s="4">
        <v>0</v>
      </c>
      <c r="G3" s="3">
        <v>1000000</v>
      </c>
      <c r="H3" s="2" t="s">
        <v>7</v>
      </c>
      <c r="I3" s="5"/>
      <c r="K3" s="1"/>
      <c r="L3" s="2"/>
      <c r="M3" s="2"/>
      <c r="N3" s="2"/>
      <c r="O3" s="3"/>
    </row>
    <row r="4" spans="1:15" s="6" customFormat="1" ht="15.750000" customHeight="1">
      <c r="A4" s="1">
        <v>44590.583831</v>
      </c>
      <c r="B4" s="2" t="s">
        <v>4</v>
      </c>
      <c r="C4" s="2" t="s">
        <v>5</v>
      </c>
      <c r="D4" s="2" t="s">
        <v>5</v>
      </c>
      <c r="E4" s="3">
        <v>5000000</v>
      </c>
      <c r="F4" s="4">
        <v>0</v>
      </c>
      <c r="G4" s="3">
        <v>1000000</v>
      </c>
      <c r="H4" s="2" t="s">
        <v>7</v>
      </c>
      <c r="I4" s="5"/>
    </row>
    <row r="5" spans="1:15" s="6" customFormat="1" ht="15.750000" customHeight="1">
      <c r="A5" s="1">
        <v>44604.529086</v>
      </c>
      <c r="B5" s="2" t="s">
        <v>4</v>
      </c>
      <c r="C5" s="2" t="s">
        <v>5</v>
      </c>
      <c r="D5" s="2" t="s">
        <v>5</v>
      </c>
      <c r="E5" s="3">
        <v>7000000</v>
      </c>
      <c r="F5" s="4">
        <v>0</v>
      </c>
      <c r="G5" s="3">
        <v>1000000</v>
      </c>
      <c r="H5" s="2" t="s">
        <v>7</v>
      </c>
      <c r="I5" s="5"/>
    </row>
    <row r="6" spans="1:15" s="6" customFormat="1" ht="15.750000" customHeight="1">
      <c r="A6" s="1">
        <v>44616.525266</v>
      </c>
      <c r="B6" s="2" t="s">
        <v>4</v>
      </c>
      <c r="C6" s="2" t="s">
        <v>5</v>
      </c>
      <c r="D6" s="2" t="s">
        <v>5</v>
      </c>
      <c r="E6" s="3">
        <v>10000000</v>
      </c>
      <c r="F6" s="4">
        <v>0</v>
      </c>
      <c r="G6" s="3">
        <v>1000000</v>
      </c>
      <c r="H6" s="2" t="s">
        <v>7</v>
      </c>
      <c r="I6" s="5"/>
    </row>
    <row r="7" spans="1:15" s="6" customFormat="1" ht="15.750000" customHeight="1">
      <c r="A7" s="1">
        <v>44620.566343</v>
      </c>
      <c r="B7" s="2" t="s">
        <v>4</v>
      </c>
      <c r="C7" s="2" t="s">
        <v>5</v>
      </c>
      <c r="D7" s="2" t="s">
        <v>5</v>
      </c>
      <c r="E7" s="3">
        <v>5000000</v>
      </c>
      <c r="F7" s="4">
        <v>0</v>
      </c>
      <c r="G7" s="3">
        <v>1000000</v>
      </c>
      <c r="H7" s="2" t="s">
        <v>7</v>
      </c>
      <c r="I7" s="5"/>
    </row>
    <row r="8" spans="1:15" s="6" customFormat="1" ht="15.750000" customHeight="1">
      <c r="A8" s="1">
        <v>44647.926273</v>
      </c>
      <c r="B8" s="2" t="s">
        <v>4</v>
      </c>
      <c r="C8" s="2" t="s">
        <v>5</v>
      </c>
      <c r="D8" s="2" t="s">
        <v>5</v>
      </c>
      <c r="E8" s="3">
        <v>10000000</v>
      </c>
      <c r="F8" s="4">
        <v>0</v>
      </c>
      <c r="G8" s="3">
        <v>1000000</v>
      </c>
      <c r="H8" s="2" t="s">
        <v>7</v>
      </c>
      <c r="I8" s="5"/>
    </row>
    <row r="9" spans="1:15" s="6" customFormat="1" ht="15.750000" customHeight="1">
      <c r="A9" s="1">
        <v>44649.967442</v>
      </c>
      <c r="B9" s="2" t="s">
        <v>4</v>
      </c>
      <c r="C9" s="2" t="s">
        <v>5</v>
      </c>
      <c r="D9" s="2" t="s">
        <v>5</v>
      </c>
      <c r="E9" s="3">
        <v>5999300</v>
      </c>
      <c r="F9" s="4">
        <v>0</v>
      </c>
      <c r="G9" s="3">
        <v>1000000</v>
      </c>
      <c r="H9" s="2" t="s">
        <v>7</v>
      </c>
      <c r="I9" s="5"/>
    </row>
    <row r="10" spans="1:15" s="6" customFormat="1" ht="15.750000" customHeight="1">
      <c r="A10" s="1">
        <v>44657.636019</v>
      </c>
      <c r="B10" s="2" t="s">
        <v>4</v>
      </c>
      <c r="C10" s="2" t="s">
        <v>5</v>
      </c>
      <c r="D10" s="2" t="s">
        <v>5</v>
      </c>
      <c r="E10" s="3">
        <v>20000000</v>
      </c>
      <c r="F10" s="4">
        <v>0</v>
      </c>
      <c r="G10" s="3">
        <v>1000000</v>
      </c>
      <c r="H10" s="2" t="s">
        <v>7</v>
      </c>
      <c r="I10" s="5"/>
    </row>
    <row r="11" spans="1:15" s="6" customFormat="1" ht="15.750000" customHeight="1">
      <c r="A11" s="1">
        <v>45023.40691</v>
      </c>
      <c r="B11" s="2" t="s">
        <v>4</v>
      </c>
      <c r="C11" s="2" t="s">
        <v>5</v>
      </c>
      <c r="D11" s="2" t="s">
        <v>5</v>
      </c>
      <c r="E11" s="3">
        <v>7000000</v>
      </c>
      <c r="F11" s="4">
        <v>0</v>
      </c>
      <c r="G11" s="3">
        <v>528907</v>
      </c>
      <c r="H11" s="2" t="s">
        <v>7</v>
      </c>
      <c r="I11" s="5"/>
    </row>
    <row r="12" spans="1:15" s="6" customFormat="1" ht="15.750000" customHeight="1">
      <c r="A12" s="1">
        <v>44664.974792</v>
      </c>
      <c r="B12" s="2" t="s">
        <v>4</v>
      </c>
      <c r="C12" s="2" t="s">
        <v>5</v>
      </c>
      <c r="D12" s="2" t="s">
        <v>5</v>
      </c>
      <c r="E12" s="3">
        <v>8735000</v>
      </c>
      <c r="F12" s="4">
        <v>0</v>
      </c>
      <c r="G12" s="3">
        <v>1000000</v>
      </c>
      <c r="H12" s="2" t="s">
        <v>7</v>
      </c>
      <c r="I12" s="5"/>
    </row>
    <row r="13" spans="1:15" s="6" customFormat="1" ht="15.750000" customHeight="1">
      <c r="A13" s="1">
        <v>44669.721192</v>
      </c>
      <c r="B13" s="2" t="s">
        <v>4</v>
      </c>
      <c r="C13" s="2" t="s">
        <v>5</v>
      </c>
      <c r="D13" s="2" t="s">
        <v>5</v>
      </c>
      <c r="E13" s="3">
        <v>10000000</v>
      </c>
      <c r="F13" s="4">
        <v>0</v>
      </c>
      <c r="G13" s="3">
        <v>1000000</v>
      </c>
      <c r="H13" s="2" t="s">
        <v>7</v>
      </c>
      <c r="I13" s="5"/>
    </row>
    <row r="14" spans="1:15" s="6" customFormat="1" ht="15.750000" customHeight="1">
      <c r="A14" s="1">
        <v>44673.572245</v>
      </c>
      <c r="B14" s="2" t="s">
        <v>4</v>
      </c>
      <c r="C14" s="2" t="s">
        <v>5</v>
      </c>
      <c r="D14" s="2" t="s">
        <v>5</v>
      </c>
      <c r="E14" s="3">
        <v>300000</v>
      </c>
      <c r="F14" s="4">
        <v>0</v>
      </c>
      <c r="G14" s="3">
        <v>1000000</v>
      </c>
      <c r="H14" s="2" t="s">
        <v>7</v>
      </c>
      <c r="I14" s="5"/>
    </row>
    <row r="15" spans="1:15" s="6" customFormat="1" ht="15.750000" customHeight="1">
      <c r="A15" s="1">
        <v>44680.499815</v>
      </c>
      <c r="B15" s="2" t="s">
        <v>4</v>
      </c>
      <c r="C15" s="2" t="s">
        <v>5</v>
      </c>
      <c r="D15" s="2" t="s">
        <v>5</v>
      </c>
      <c r="E15" s="3">
        <v>8400000</v>
      </c>
      <c r="F15" s="4">
        <v>0</v>
      </c>
      <c r="G15" s="3">
        <v>1000000</v>
      </c>
      <c r="H15" s="2" t="s">
        <v>7</v>
      </c>
      <c r="I15" s="5"/>
    </row>
    <row r="16" spans="1:15" s="6" customFormat="1" ht="15.750000" customHeight="1">
      <c r="A16" s="1">
        <v>44683.415613</v>
      </c>
      <c r="B16" s="2" t="s">
        <v>4</v>
      </c>
      <c r="C16" s="2" t="s">
        <v>5</v>
      </c>
      <c r="D16" s="2" t="s">
        <v>5</v>
      </c>
      <c r="E16" s="3">
        <v>2539000</v>
      </c>
      <c r="F16" s="4">
        <v>0</v>
      </c>
      <c r="G16" s="3">
        <v>1000000</v>
      </c>
      <c r="H16" s="2" t="s">
        <v>7</v>
      </c>
      <c r="I16" s="5"/>
    </row>
    <row r="17" spans="1:9" s="6" customFormat="1" ht="15.750000" customHeight="1">
      <c r="A17" s="1">
        <v>44692.092801</v>
      </c>
      <c r="B17" s="2" t="s">
        <v>4</v>
      </c>
      <c r="C17" s="2" t="s">
        <v>5</v>
      </c>
      <c r="D17" s="2" t="s">
        <v>5</v>
      </c>
      <c r="E17" s="3">
        <v>20072500</v>
      </c>
      <c r="F17" s="4">
        <v>0</v>
      </c>
      <c r="G17" s="3">
        <v>1000000</v>
      </c>
      <c r="H17" s="2" t="s">
        <v>7</v>
      </c>
      <c r="I17" s="5"/>
    </row>
    <row r="18" spans="1:9" s="6" customFormat="1" ht="15.750000" customHeight="1">
      <c r="A18" s="1">
        <v>44694.178275</v>
      </c>
      <c r="B18" s="2" t="s">
        <v>4</v>
      </c>
      <c r="C18" s="2" t="s">
        <v>5</v>
      </c>
      <c r="D18" s="2" t="s">
        <v>5</v>
      </c>
      <c r="E18" s="3">
        <v>10000000</v>
      </c>
      <c r="F18" s="4">
        <v>0</v>
      </c>
      <c r="G18" s="3">
        <v>1000000</v>
      </c>
      <c r="H18" s="2" t="s">
        <v>7</v>
      </c>
      <c r="I18" s="5"/>
    </row>
    <row r="19" spans="1:9" s="6" customFormat="1" ht="15.750000" customHeight="1">
      <c r="A19" s="1">
        <v>44704.938542</v>
      </c>
      <c r="B19" s="2" t="s">
        <v>4</v>
      </c>
      <c r="C19" s="2" t="s">
        <v>5</v>
      </c>
      <c r="D19" s="2" t="s">
        <v>5</v>
      </c>
      <c r="E19" s="3">
        <v>10072500</v>
      </c>
      <c r="F19" s="4">
        <v>0</v>
      </c>
      <c r="G19" s="3">
        <v>1000000</v>
      </c>
      <c r="H19" s="2" t="s">
        <v>7</v>
      </c>
      <c r="I19" s="5"/>
    </row>
    <row r="20" spans="1:9" s="6" customFormat="1" ht="15.750000" customHeight="1">
      <c r="A20" s="1">
        <v>44712.47603</v>
      </c>
      <c r="B20" s="2" t="s">
        <v>4</v>
      </c>
      <c r="C20" s="2" t="s">
        <v>5</v>
      </c>
      <c r="D20" s="2" t="s">
        <v>5</v>
      </c>
      <c r="E20" s="3">
        <v>5000000</v>
      </c>
      <c r="F20" s="4">
        <v>0</v>
      </c>
      <c r="G20" s="3">
        <v>1000000</v>
      </c>
      <c r="H20" s="2" t="s">
        <v>7</v>
      </c>
      <c r="I20" s="5"/>
    </row>
    <row r="21" spans="1:9" s="6" customFormat="1" ht="15.750000" customHeight="1">
      <c r="A21" s="1">
        <v>44725.060428</v>
      </c>
      <c r="B21" s="2" t="s">
        <v>4</v>
      </c>
      <c r="C21" s="2" t="s">
        <v>5</v>
      </c>
      <c r="D21" s="2" t="s">
        <v>5</v>
      </c>
      <c r="E21" s="3">
        <v>12301017</v>
      </c>
      <c r="F21" s="4">
        <v>0</v>
      </c>
      <c r="G21" s="3">
        <v>1000054</v>
      </c>
      <c r="H21" s="2" t="s">
        <v>7</v>
      </c>
      <c r="I21" s="5"/>
    </row>
    <row r="22" spans="1:9" s="6" customFormat="1" ht="15.750000" customHeight="1">
      <c r="A22" s="1">
        <v>44750.452292</v>
      </c>
      <c r="B22" s="2" t="s">
        <v>4</v>
      </c>
      <c r="C22" s="2" t="s">
        <v>5</v>
      </c>
      <c r="D22" s="2" t="s">
        <v>5</v>
      </c>
      <c r="E22" s="3">
        <v>12649054</v>
      </c>
      <c r="F22" s="4">
        <v>0</v>
      </c>
      <c r="G22" s="3">
        <v>1000000</v>
      </c>
      <c r="H22" s="2" t="s">
        <v>7</v>
      </c>
      <c r="I22" s="5"/>
    </row>
    <row r="23" spans="1:9" s="6" customFormat="1" ht="15.750000" customHeight="1">
      <c r="A23" s="1">
        <v>44866.909398</v>
      </c>
      <c r="B23" s="2" t="s">
        <v>4</v>
      </c>
      <c r="C23" s="2" t="s">
        <v>5</v>
      </c>
      <c r="D23" s="2" t="s">
        <v>5</v>
      </c>
      <c r="E23" s="3">
        <v>4000000</v>
      </c>
      <c r="F23" s="4">
        <v>0</v>
      </c>
      <c r="G23" s="3">
        <v>3894501</v>
      </c>
      <c r="H23" s="2" t="s">
        <v>7</v>
      </c>
      <c r="I23" s="5"/>
    </row>
    <row r="24" spans="1:9" s="6" customFormat="1" ht="15.750000" customHeight="1">
      <c r="A24" s="1">
        <v>44868.543738</v>
      </c>
      <c r="B24" s="2" t="s">
        <v>4</v>
      </c>
      <c r="C24" s="2" t="s">
        <v>5</v>
      </c>
      <c r="D24" s="2" t="s">
        <v>5</v>
      </c>
      <c r="E24" s="3">
        <v>5000000</v>
      </c>
      <c r="F24" s="4">
        <v>0</v>
      </c>
      <c r="G24" s="3">
        <v>2194501</v>
      </c>
      <c r="H24" s="2" t="s">
        <v>7</v>
      </c>
      <c r="I24" s="5"/>
    </row>
    <row r="25" spans="1:9" s="6" customFormat="1" ht="15.750000" customHeight="1">
      <c r="A25" s="1">
        <v>45023.40691</v>
      </c>
      <c r="B25" s="2" t="s">
        <v>4</v>
      </c>
      <c r="C25" s="2" t="s">
        <v>5</v>
      </c>
      <c r="D25" s="2" t="s">
        <v>5</v>
      </c>
      <c r="E25" s="3">
        <v>7000000</v>
      </c>
      <c r="F25" s="4">
        <v>0</v>
      </c>
      <c r="G25" s="3">
        <v>528907</v>
      </c>
      <c r="H25" s="2" t="s">
        <v>7</v>
      </c>
      <c r="I25" s="5"/>
    </row>
    <row r="26" spans="1:9">
      <c r="E26" s="7">
        <f>SUM(E2:E25)</f>
        <v>211068371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E13" sqref="E13"/>
    </sheetView>
  </sheetViews>
  <sheetFormatPr defaultRowHeight="16.500000"/>
  <cols>
    <col min="1" max="1" width="23.62999916" customWidth="1" outlineLevel="0"/>
    <col min="5" max="5" width="15.75500011" customWidth="1" outlineLevel="0"/>
    <col min="7" max="7" width="11.25500011" customWidth="1" outlineLevel="0"/>
  </cols>
  <sheetData>
    <row r="1" spans="1:9">
      <c r="A1" s="0">
        <v>593</v>
      </c>
      <c r="B1" s="0" t="s">
        <v>1</v>
      </c>
      <c r="E1" s="0" t="s">
        <v>8</v>
      </c>
    </row>
    <row r="2" spans="1:9" s="6" customFormat="1" ht="15.750000" customHeight="1">
      <c r="A2" s="1">
        <v>44588.499062</v>
      </c>
      <c r="B2" s="2" t="s">
        <v>4</v>
      </c>
      <c r="C2" s="2" t="s">
        <v>11</v>
      </c>
      <c r="D2" s="2" t="s">
        <v>11</v>
      </c>
      <c r="E2" s="3">
        <v>100000000</v>
      </c>
      <c r="F2" s="4">
        <v>0</v>
      </c>
      <c r="G2" s="3">
        <v>1000000</v>
      </c>
      <c r="H2" s="2" t="s">
        <v>7</v>
      </c>
      <c r="I2" s="5"/>
    </row>
    <row r="3" spans="1:9" s="6" customFormat="1" ht="15.750000" customHeight="1">
      <c r="A3" s="1">
        <v>44604.528796</v>
      </c>
      <c r="B3" s="2" t="s">
        <v>4</v>
      </c>
      <c r="C3" s="2" t="s">
        <v>11</v>
      </c>
      <c r="D3" s="2" t="s">
        <v>11</v>
      </c>
      <c r="E3" s="3">
        <v>8000000</v>
      </c>
      <c r="F3" s="4">
        <v>0</v>
      </c>
      <c r="G3" s="3">
        <v>8000000</v>
      </c>
      <c r="H3" s="2" t="s">
        <v>7</v>
      </c>
      <c r="I3" s="5"/>
    </row>
    <row r="4" spans="1:9" s="6" customFormat="1" ht="15.750000" customHeight="1">
      <c r="A4" s="1">
        <v>44663.51581</v>
      </c>
      <c r="B4" s="2" t="s">
        <v>4</v>
      </c>
      <c r="C4" s="2" t="s">
        <v>11</v>
      </c>
      <c r="D4" s="2" t="s">
        <v>11</v>
      </c>
      <c r="E4" s="3">
        <v>8000000</v>
      </c>
      <c r="F4" s="4">
        <v>0</v>
      </c>
      <c r="G4" s="3">
        <v>13000000</v>
      </c>
      <c r="H4" s="2" t="s">
        <v>7</v>
      </c>
      <c r="I4" s="5"/>
    </row>
    <row r="5" spans="1:9" s="6" customFormat="1" ht="15.750000" customHeight="1">
      <c r="A5" s="1">
        <v>44693.49603</v>
      </c>
      <c r="B5" s="2" t="s">
        <v>4</v>
      </c>
      <c r="C5" s="2" t="s">
        <v>11</v>
      </c>
      <c r="D5" s="2" t="s">
        <v>11</v>
      </c>
      <c r="E5" s="3">
        <v>8000000</v>
      </c>
      <c r="F5" s="4">
        <v>0</v>
      </c>
      <c r="G5" s="3">
        <v>13000000</v>
      </c>
      <c r="H5" s="2" t="s">
        <v>7</v>
      </c>
      <c r="I5" s="5"/>
    </row>
    <row r="6" spans="1:9" s="6" customFormat="1" ht="15.750000" customHeight="1">
      <c r="A6" s="1">
        <v>44724.534537</v>
      </c>
      <c r="B6" s="2" t="s">
        <v>4</v>
      </c>
      <c r="C6" s="2" t="s">
        <v>11</v>
      </c>
      <c r="D6" s="2" t="s">
        <v>11</v>
      </c>
      <c r="E6" s="3">
        <v>8000000</v>
      </c>
      <c r="F6" s="4">
        <v>0</v>
      </c>
      <c r="G6" s="3">
        <v>13301071</v>
      </c>
      <c r="H6" s="2" t="s">
        <v>7</v>
      </c>
      <c r="I6" s="5"/>
    </row>
    <row r="7" spans="1:9" s="6" customFormat="1" ht="15.750000" customHeight="1">
      <c r="A7" s="1">
        <v>44754.588322</v>
      </c>
      <c r="B7" s="2" t="s">
        <v>4</v>
      </c>
      <c r="C7" s="2" t="s">
        <v>11</v>
      </c>
      <c r="D7" s="2" t="s">
        <v>11</v>
      </c>
      <c r="E7" s="3">
        <v>8000000</v>
      </c>
      <c r="F7" s="4">
        <v>0</v>
      </c>
      <c r="G7" s="3">
        <v>13000000</v>
      </c>
      <c r="H7" s="2" t="s">
        <v>7</v>
      </c>
      <c r="I7" s="5"/>
    </row>
    <row r="8" spans="1:9">
      <c r="E8" s="7">
        <f>SUM(E2:E7)</f>
        <v>140000000</v>
      </c>
    </row>
    <row r="9" spans="1:9">
      <c r="A9" s="0">
        <v>244</v>
      </c>
      <c r="E9" s="7"/>
    </row>
    <row r="10" spans="1:9">
      <c r="A10" s="0" t="s">
        <v>58</v>
      </c>
      <c r="E10" s="9">
        <v>12000000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selection activeCell="H9" sqref="H9"/>
    </sheetView>
  </sheetViews>
  <sheetFormatPr defaultRowHeight="16.500000"/>
  <cols>
    <col min="1" max="1" width="21.62999916" customWidth="1" outlineLevel="0"/>
    <col min="5" max="5" width="15.63000011" customWidth="1" outlineLevel="0"/>
  </cols>
  <sheetData>
    <row r="1" spans="1:13">
      <c r="A1" s="0">
        <v>593</v>
      </c>
      <c r="B1" s="0" t="s">
        <v>10</v>
      </c>
      <c r="E1" s="0" t="s">
        <v>8</v>
      </c>
    </row>
    <row r="2" spans="1:13" s="6" customFormat="1" ht="15.750000" customHeight="1">
      <c r="A2" s="1">
        <v>44775.529363</v>
      </c>
      <c r="B2" s="2" t="s">
        <v>4</v>
      </c>
      <c r="C2" s="2" t="s">
        <v>17</v>
      </c>
      <c r="D2" s="2" t="s">
        <v>17</v>
      </c>
      <c r="E2" s="3">
        <v>5000000</v>
      </c>
      <c r="F2" s="4">
        <v>0</v>
      </c>
      <c r="G2" s="3">
        <v>53700000</v>
      </c>
      <c r="H2" s="2" t="s">
        <v>7</v>
      </c>
      <c r="I2" s="5"/>
    </row>
    <row r="3" spans="1:13" s="6" customFormat="1" ht="15.750000" customHeight="1">
      <c r="A3" s="1">
        <v>44834.733287</v>
      </c>
      <c r="B3" s="2" t="s">
        <v>4</v>
      </c>
      <c r="C3" s="2" t="s">
        <v>17</v>
      </c>
      <c r="D3" s="2" t="s">
        <v>17</v>
      </c>
      <c r="E3" s="3">
        <v>1400000</v>
      </c>
      <c r="F3" s="4">
        <v>0</v>
      </c>
      <c r="G3" s="3">
        <v>966501</v>
      </c>
      <c r="H3" s="2" t="s">
        <v>7</v>
      </c>
      <c r="I3" s="5"/>
    </row>
    <row r="4" spans="1:13">
      <c r="E4" s="7">
        <f>SUM(E2:E3)</f>
        <v>6400000</v>
      </c>
    </row>
    <row r="5" spans="1:13">
      <c r="A5" s="0">
        <v>244</v>
      </c>
    </row>
    <row r="6" spans="1:13">
      <c r="A6" s="0" t="s">
        <v>60</v>
      </c>
      <c r="E6" s="9">
        <v>1000000</v>
      </c>
    </row>
    <row r="9" spans="1:13">
      <c r="M9" s="0">
        <v>6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G10" sqref="G10"/>
    </sheetView>
  </sheetViews>
  <sheetFormatPr defaultRowHeight="16.500000"/>
  <cols>
    <col min="1" max="1" width="17.75499916" customWidth="1" outlineLevel="0"/>
    <col min="5" max="5" width="14.38000011" customWidth="1" outlineLevel="0"/>
    <col min="7" max="7" width="14.88000011" customWidth="1" outlineLevel="0"/>
  </cols>
  <sheetData>
    <row r="1" spans="1:9">
      <c r="A1" s="0">
        <v>593</v>
      </c>
      <c r="B1" s="0" t="s">
        <v>18</v>
      </c>
    </row>
    <row r="2" spans="1:9" s="6" customFormat="1" ht="15.750000" customHeight="1">
      <c r="A2" s="1">
        <v>44775.533924</v>
      </c>
      <c r="B2" s="2" t="s">
        <v>4</v>
      </c>
      <c r="C2" s="2" t="s">
        <v>19</v>
      </c>
      <c r="D2" s="2" t="s">
        <v>19</v>
      </c>
      <c r="E2" s="3">
        <v>52300000</v>
      </c>
      <c r="F2" s="4">
        <v>0</v>
      </c>
      <c r="G2" s="3">
        <v>1400000</v>
      </c>
      <c r="H2" s="2" t="s">
        <v>7</v>
      </c>
      <c r="I2" s="5"/>
    </row>
    <row r="3" spans="1:9" s="6" customFormat="1" ht="15.750000" customHeight="1">
      <c r="A3" s="1">
        <v>44775.53478</v>
      </c>
      <c r="B3" s="2" t="s">
        <v>4</v>
      </c>
      <c r="C3" s="2" t="s">
        <v>19</v>
      </c>
      <c r="D3" s="2" t="s">
        <v>19</v>
      </c>
      <c r="E3" s="3">
        <v>370000</v>
      </c>
      <c r="F3" s="4">
        <v>0</v>
      </c>
      <c r="G3" s="3">
        <v>1030000</v>
      </c>
      <c r="H3" s="2" t="s">
        <v>7</v>
      </c>
      <c r="I3" s="5"/>
    </row>
    <row r="4" spans="1:9" s="6" customFormat="1" ht="15.750000" customHeight="1">
      <c r="A4" s="1">
        <v>44789.825509</v>
      </c>
      <c r="B4" s="2" t="s">
        <v>4</v>
      </c>
      <c r="C4" s="2" t="s">
        <v>19</v>
      </c>
      <c r="D4" s="2" t="s">
        <v>19</v>
      </c>
      <c r="E4" s="3">
        <v>5000000</v>
      </c>
      <c r="F4" s="4">
        <v>0</v>
      </c>
      <c r="G4" s="3">
        <v>26150000</v>
      </c>
      <c r="H4" s="2" t="s">
        <v>7</v>
      </c>
      <c r="I4" s="5"/>
    </row>
    <row r="5" spans="1:9">
      <c r="A5" s="0">
        <v>244</v>
      </c>
      <c r="E5" s="7">
        <f>SUM(E2:E4)</f>
        <v>57670000</v>
      </c>
    </row>
    <row r="6" spans="1:9">
      <c r="A6" s="0" t="s">
        <v>56</v>
      </c>
      <c r="B6" s="2" t="s">
        <v>4</v>
      </c>
      <c r="C6" s="2" t="s">
        <v>19</v>
      </c>
      <c r="D6" s="2" t="s">
        <v>19</v>
      </c>
      <c r="E6" s="3">
        <v>5000000</v>
      </c>
      <c r="F6" s="0">
        <v>0</v>
      </c>
      <c r="G6" s="9">
        <v>123692740</v>
      </c>
      <c r="H6" s="0" t="s">
        <v>57</v>
      </c>
    </row>
    <row r="7" spans="1:9">
      <c r="E7" s="0">
        <f>SUM(E5:E6)</f>
        <v>62670000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A1" sqref="A1"/>
    </sheetView>
  </sheetViews>
  <sheetFormatPr defaultRowHeight="16.500000"/>
  <cols>
    <col min="1" max="1" width="18.75499916" customWidth="1" outlineLevel="0"/>
    <col min="2" max="2" width="12.75500011" customWidth="1" outlineLevel="0"/>
    <col min="5" max="5" width="13.88000011" customWidth="1" outlineLevel="0"/>
  </cols>
  <sheetData>
    <row r="1" spans="1:9">
      <c r="A1" s="0">
        <v>593</v>
      </c>
      <c r="B1" s="0" t="s">
        <v>22</v>
      </c>
    </row>
    <row r="2" spans="1:9" s="6" customFormat="1" ht="15.750000" customHeight="1">
      <c r="A2" s="1">
        <v>44834.732905</v>
      </c>
      <c r="B2" s="2" t="s">
        <v>4</v>
      </c>
      <c r="C2" s="2" t="s">
        <v>21</v>
      </c>
      <c r="D2" s="2" t="s">
        <v>21</v>
      </c>
      <c r="E2" s="3">
        <v>5600000</v>
      </c>
      <c r="F2" s="4">
        <v>0</v>
      </c>
      <c r="G2" s="3">
        <v>2366501</v>
      </c>
      <c r="H2" s="2" t="s">
        <v>7</v>
      </c>
      <c r="I2" s="5"/>
    </row>
    <row r="3" spans="1:9">
      <c r="E3" s="3">
        <v>5600000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A1" sqref="A1"/>
    </sheetView>
  </sheetViews>
  <sheetFormatPr defaultRowHeight="16.500000"/>
  <cols>
    <col min="1" max="1" width="17.75499916" customWidth="1" outlineLevel="0"/>
  </cols>
  <sheetData>
    <row r="1" spans="1:9">
      <c r="A1" s="0">
        <v>593</v>
      </c>
      <c r="B1" s="0" t="s">
        <v>12</v>
      </c>
    </row>
    <row r="2" spans="1:9" s="6" customFormat="1" ht="15.750000" customHeight="1">
      <c r="A2" s="1">
        <v>44746.454514</v>
      </c>
      <c r="B2" s="2" t="s">
        <v>4</v>
      </c>
      <c r="C2" s="2" t="s">
        <v>14</v>
      </c>
      <c r="D2" s="2" t="s">
        <v>14</v>
      </c>
      <c r="E2" s="3">
        <v>5000000</v>
      </c>
      <c r="F2" s="4">
        <v>0</v>
      </c>
      <c r="G2" s="3">
        <v>13500054</v>
      </c>
      <c r="H2" s="2" t="s">
        <v>7</v>
      </c>
      <c r="I2" s="5"/>
    </row>
    <row r="3" spans="1:9">
      <c r="E3" s="3">
        <v>5000000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I15" sqref="I15"/>
    </sheetView>
  </sheetViews>
  <sheetFormatPr defaultRowHeight="16.500000"/>
  <cols>
    <col min="1" max="1" width="17.12999916" customWidth="1" outlineLevel="0"/>
    <col min="5" max="5" width="11.88000011" customWidth="1" outlineLevel="0"/>
  </cols>
  <sheetData>
    <row r="1" spans="1:9">
      <c r="A1" s="0">
        <v>593</v>
      </c>
      <c r="B1" s="0" t="s">
        <v>15</v>
      </c>
    </row>
    <row r="2" spans="1:9" s="6" customFormat="1" ht="15.750000" customHeight="1">
      <c r="A2" s="1">
        <v>44760.94235</v>
      </c>
      <c r="B2" s="2" t="s">
        <v>4</v>
      </c>
      <c r="C2" s="2" t="s">
        <v>16</v>
      </c>
      <c r="D2" s="2" t="s">
        <v>16</v>
      </c>
      <c r="E2" s="3">
        <v>10000000</v>
      </c>
      <c r="F2" s="4">
        <v>0</v>
      </c>
      <c r="G2" s="3">
        <v>13000000</v>
      </c>
      <c r="H2" s="2" t="s">
        <v>7</v>
      </c>
      <c r="I2" s="5"/>
    </row>
    <row r="3" spans="1:9">
      <c r="E3" s="3">
        <v>10000000</v>
      </c>
    </row>
    <row r="4" spans="1:9">
      <c r="A4" s="0">
        <v>244</v>
      </c>
    </row>
    <row r="5" spans="1:9">
      <c r="A5" s="0" t="s">
        <v>59</v>
      </c>
      <c r="E5" s="9">
        <v>1000000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I13" sqref="I13"/>
    </sheetView>
  </sheetViews>
  <sheetFormatPr defaultRowHeight="16.500000"/>
  <cols>
    <col min="1" max="1" width="16.75499916" customWidth="1" outlineLevel="0"/>
  </cols>
  <sheetData>
    <row r="1" spans="1:9">
      <c r="A1" s="0">
        <v>593</v>
      </c>
      <c r="B1" s="0" t="s">
        <v>23</v>
      </c>
    </row>
    <row r="2" spans="1:9" s="6" customFormat="1" ht="15.750000" customHeight="1">
      <c r="A2" s="1">
        <v>44865.43037</v>
      </c>
      <c r="B2" s="2" t="s">
        <v>4</v>
      </c>
      <c r="C2" s="2" t="s">
        <v>24</v>
      </c>
      <c r="D2" s="2" t="s">
        <v>24</v>
      </c>
      <c r="E2" s="3">
        <v>30800000</v>
      </c>
      <c r="F2" s="4">
        <v>0</v>
      </c>
      <c r="G2" s="3">
        <v>7648501</v>
      </c>
      <c r="H2" s="2" t="s">
        <v>7</v>
      </c>
      <c r="I2" s="5"/>
    </row>
    <row r="3" spans="1:9">
      <c r="E3" s="3">
        <v>30800000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48576"/>
  <sheetViews>
    <sheetView tabSelected="1" workbookViewId="0">
      <selection activeCell="E13" sqref="E13"/>
    </sheetView>
  </sheetViews>
  <sheetFormatPr defaultRowHeight="16.500000"/>
  <cols>
    <col min="1" max="1" width="22.62999916" customWidth="1" outlineLevel="0"/>
  </cols>
  <sheetData>
    <row r="1" spans="1:9">
      <c r="A1" s="0">
        <v>593</v>
      </c>
      <c r="B1" s="0" t="s">
        <v>54</v>
      </c>
    </row>
    <row r="2" spans="1:9" s="6" customFormat="1" ht="15.750000" customHeight="1">
      <c r="A2" s="1">
        <v>44774.52765</v>
      </c>
      <c r="B2" s="2" t="s">
        <v>4</v>
      </c>
      <c r="C2" s="2" t="s">
        <v>53</v>
      </c>
      <c r="D2" s="2" t="s">
        <v>53</v>
      </c>
      <c r="E2" s="3">
        <v>20000000</v>
      </c>
      <c r="F2" s="4">
        <v>0</v>
      </c>
      <c r="G2" s="3">
        <v>700000</v>
      </c>
      <c r="H2" s="2" t="s">
        <v>7</v>
      </c>
      <c r="I2" s="5"/>
    </row>
    <row r="1048576" spans="5:5">
      <c r="E1048576" s="0">
        <f>SUM(E2:E1048575)</f>
        <v>20000000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48576"/>
  <sheetViews>
    <sheetView workbookViewId="0">
      <selection activeCell="D19" sqref="D19"/>
    </sheetView>
  </sheetViews>
  <sheetFormatPr defaultRowHeight="16.500000"/>
  <cols>
    <col min="1" max="1" width="19.62999916" customWidth="1" outlineLevel="0"/>
    <col min="5" max="5" width="13.63000011" customWidth="1" outlineLevel="0"/>
  </cols>
  <sheetData>
    <row r="1" spans="1:9">
      <c r="A1" s="0">
        <v>593</v>
      </c>
      <c r="B1" s="0" t="s">
        <v>25</v>
      </c>
    </row>
    <row r="2" spans="1:9" s="6" customFormat="1" ht="15.750000" customHeight="1">
      <c r="A2" s="1">
        <v>44664.974167</v>
      </c>
      <c r="B2" s="2" t="s">
        <v>4</v>
      </c>
      <c r="C2" s="2" t="s">
        <v>51</v>
      </c>
      <c r="D2" s="2" t="s">
        <v>51</v>
      </c>
      <c r="E2" s="3">
        <v>3265000</v>
      </c>
      <c r="F2" s="4">
        <v>0</v>
      </c>
      <c r="G2" s="3">
        <v>9735000</v>
      </c>
      <c r="H2" s="2" t="s">
        <v>7</v>
      </c>
      <c r="I2" s="5"/>
    </row>
    <row r="3" spans="1:9" s="6" customFormat="1" ht="15.750000" customHeight="1">
      <c r="A3" s="1">
        <v>44677.611157</v>
      </c>
      <c r="B3" s="2" t="s">
        <v>4</v>
      </c>
      <c r="C3" s="2" t="s">
        <v>27</v>
      </c>
      <c r="D3" s="2" t="s">
        <v>27</v>
      </c>
      <c r="E3" s="3">
        <v>6600000</v>
      </c>
      <c r="F3" s="4">
        <v>0</v>
      </c>
      <c r="G3" s="3">
        <v>4400000</v>
      </c>
      <c r="H3" s="2" t="s">
        <v>7</v>
      </c>
      <c r="I3" s="5"/>
    </row>
    <row r="4" spans="1:9" s="6" customFormat="1" ht="15.750000" customHeight="1">
      <c r="A4" s="1">
        <v>44694.178009</v>
      </c>
      <c r="B4" s="2" t="s">
        <v>4</v>
      </c>
      <c r="C4" s="2" t="s">
        <v>35</v>
      </c>
      <c r="D4" s="2" t="s">
        <v>35</v>
      </c>
      <c r="E4" s="3">
        <v>2000000</v>
      </c>
      <c r="F4" s="4">
        <v>0</v>
      </c>
      <c r="G4" s="3">
        <v>11000000</v>
      </c>
      <c r="H4" s="2" t="s">
        <v>7</v>
      </c>
      <c r="I4" s="5"/>
    </row>
    <row r="5" spans="1:9" s="6" customFormat="1" ht="15.750000" customHeight="1">
      <c r="A5" s="1">
        <v>44682.714676</v>
      </c>
      <c r="B5" s="2" t="s">
        <v>4</v>
      </c>
      <c r="C5" s="2" t="s">
        <v>29</v>
      </c>
      <c r="D5" s="2" t="s">
        <v>29</v>
      </c>
      <c r="E5" s="3">
        <v>260000</v>
      </c>
      <c r="F5" s="4">
        <v>0</v>
      </c>
      <c r="G5" s="3">
        <v>3740000</v>
      </c>
      <c r="H5" s="2" t="s">
        <v>7</v>
      </c>
      <c r="I5" s="5"/>
    </row>
    <row r="6" spans="1:9" s="6" customFormat="1" ht="15.750000" customHeight="1">
      <c r="A6" s="1">
        <v>44682.908785</v>
      </c>
      <c r="B6" s="2" t="s">
        <v>4</v>
      </c>
      <c r="C6" s="2" t="s">
        <v>31</v>
      </c>
      <c r="D6" s="2" t="s">
        <v>31</v>
      </c>
      <c r="E6" s="3">
        <v>70000</v>
      </c>
      <c r="F6" s="4">
        <v>0</v>
      </c>
      <c r="G6" s="3">
        <v>3670000</v>
      </c>
      <c r="H6" s="2" t="s">
        <v>7</v>
      </c>
      <c r="I6" s="5"/>
    </row>
    <row r="7" spans="1:9" s="6" customFormat="1" ht="15.750000" customHeight="1">
      <c r="A7" s="1">
        <v>44682.923993</v>
      </c>
      <c r="B7" s="2" t="s">
        <v>4</v>
      </c>
      <c r="C7" s="2" t="s">
        <v>33</v>
      </c>
      <c r="D7" s="2" t="s">
        <v>33</v>
      </c>
      <c r="E7" s="3">
        <v>131000</v>
      </c>
      <c r="F7" s="4">
        <v>0</v>
      </c>
      <c r="G7" s="3">
        <v>3539000</v>
      </c>
      <c r="H7" s="2" t="s">
        <v>7</v>
      </c>
      <c r="I7" s="5"/>
    </row>
    <row r="8" spans="1:9" s="6" customFormat="1" ht="15.750000" customHeight="1">
      <c r="A8" s="1">
        <v>44735.467222</v>
      </c>
      <c r="B8" s="2" t="s">
        <v>4</v>
      </c>
      <c r="C8" s="2" t="s">
        <v>37</v>
      </c>
      <c r="D8" s="2" t="s">
        <v>37</v>
      </c>
      <c r="E8" s="3">
        <v>1000000</v>
      </c>
      <c r="F8" s="4">
        <v>0</v>
      </c>
      <c r="G8" s="3">
        <v>7500054</v>
      </c>
      <c r="H8" s="2" t="s">
        <v>7</v>
      </c>
      <c r="I8" s="5"/>
    </row>
    <row r="9" spans="1:9" s="6" customFormat="1" ht="15.750000" customHeight="1">
      <c r="A9" s="1">
        <v>44736.728021</v>
      </c>
      <c r="B9" s="2" t="s">
        <v>4</v>
      </c>
      <c r="C9" s="2" t="s">
        <v>39</v>
      </c>
      <c r="D9" s="2" t="s">
        <v>39</v>
      </c>
      <c r="E9" s="3">
        <v>2000000</v>
      </c>
      <c r="F9" s="4">
        <v>0</v>
      </c>
      <c r="G9" s="3">
        <v>15500054</v>
      </c>
      <c r="H9" s="2" t="s">
        <v>7</v>
      </c>
      <c r="I9" s="5"/>
    </row>
    <row r="10" spans="1:9" s="6" customFormat="1" ht="15.750000" customHeight="1">
      <c r="A10" s="1">
        <v>44736.728553</v>
      </c>
      <c r="B10" s="2" t="s">
        <v>4</v>
      </c>
      <c r="C10" s="2" t="s">
        <v>41</v>
      </c>
      <c r="D10" s="2" t="s">
        <v>41</v>
      </c>
      <c r="E10" s="3">
        <v>2000000</v>
      </c>
      <c r="F10" s="4">
        <v>0</v>
      </c>
      <c r="G10" s="3">
        <v>13500054</v>
      </c>
      <c r="H10" s="2" t="s">
        <v>7</v>
      </c>
      <c r="I10" s="5"/>
    </row>
    <row r="11" spans="1:9" s="6" customFormat="1" ht="15.750000" customHeight="1">
      <c r="A11" s="1">
        <v>44769.665463</v>
      </c>
      <c r="B11" s="2" t="s">
        <v>4</v>
      </c>
      <c r="C11" s="2" t="s">
        <v>43</v>
      </c>
      <c r="D11" s="2" t="s">
        <v>43</v>
      </c>
      <c r="E11" s="3">
        <v>3600000</v>
      </c>
      <c r="F11" s="4">
        <v>0</v>
      </c>
      <c r="G11" s="3">
        <v>15400000</v>
      </c>
      <c r="H11" s="2" t="s">
        <v>7</v>
      </c>
      <c r="I11" s="5"/>
    </row>
    <row r="12" spans="1:9" s="6" customFormat="1" ht="15.750000" customHeight="1">
      <c r="A12" s="1">
        <v>45020.889815</v>
      </c>
      <c r="B12" s="2" t="s">
        <v>4</v>
      </c>
      <c r="C12" s="2" t="s">
        <v>45</v>
      </c>
      <c r="D12" s="2" t="s">
        <v>45</v>
      </c>
      <c r="E12" s="3">
        <v>40000000</v>
      </c>
      <c r="F12" s="4">
        <v>0</v>
      </c>
      <c r="G12" s="3">
        <v>528907</v>
      </c>
      <c r="H12" s="2" t="s">
        <v>7</v>
      </c>
      <c r="I12" s="5"/>
    </row>
    <row r="13" spans="1:9" s="6" customFormat="1" ht="15.750000" customHeight="1">
      <c r="A13" s="1">
        <v>45020.96088</v>
      </c>
      <c r="B13" s="2" t="s">
        <v>4</v>
      </c>
      <c r="C13" s="2" t="s">
        <v>45</v>
      </c>
      <c r="D13" s="2" t="s">
        <v>45</v>
      </c>
      <c r="E13" s="3">
        <v>4500000</v>
      </c>
      <c r="F13" s="4">
        <v>0</v>
      </c>
      <c r="G13" s="3">
        <v>528907</v>
      </c>
      <c r="H13" s="2" t="s">
        <v>7</v>
      </c>
      <c r="I13" s="5"/>
    </row>
    <row r="14" spans="1:9" s="6" customFormat="1" ht="15.750000" customHeight="1">
      <c r="A14" s="1">
        <v>45022.725752</v>
      </c>
      <c r="B14" s="2" t="s">
        <v>4</v>
      </c>
      <c r="C14" s="2" t="s">
        <v>47</v>
      </c>
      <c r="D14" s="2" t="s">
        <v>47</v>
      </c>
      <c r="E14" s="3">
        <v>2000000</v>
      </c>
      <c r="F14" s="4">
        <v>0</v>
      </c>
      <c r="G14" s="3">
        <v>7528907</v>
      </c>
      <c r="H14" s="2" t="s">
        <v>7</v>
      </c>
      <c r="I14" s="5"/>
    </row>
    <row r="15" spans="1:9">
      <c r="E15" s="7">
        <f>SUM(E3:E14)</f>
        <v>64161000</v>
      </c>
    </row>
    <row r="1048576" spans="5:5">
      <c r="E1048576" s="0">
        <f>SUM(E2:E1048575)</f>
        <v>131587000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10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1CHO3PARK</cp:lastModifiedBy>
  <cp:version>10.105.286.56066</cp:version>
</cp:coreProperties>
</file>